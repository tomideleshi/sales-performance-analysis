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<sst xmlns="http://schemas.openxmlformats.org/spreadsheetml/2006/main" count="89" uniqueCount="42">
  <si>
    <t>Date</t>
  </si>
  <si>
    <t>Salesperson</t>
  </si>
  <si>
    <t>Region</t>
  </si>
  <si>
    <t>Product</t>
  </si>
  <si>
    <t>Units Sold</t>
  </si>
  <si>
    <t>Unit Price</t>
  </si>
  <si>
    <t>Total Sales</t>
  </si>
  <si>
    <t>SUMMARY</t>
  </si>
  <si>
    <t>Value</t>
  </si>
  <si>
    <t>Alice</t>
  </si>
  <si>
    <t>North</t>
  </si>
  <si>
    <t>Laptop</t>
  </si>
  <si>
    <t>Total Revenue</t>
  </si>
  <si>
    <t>Bob</t>
  </si>
  <si>
    <t>South</t>
  </si>
  <si>
    <t>Phone</t>
  </si>
  <si>
    <t>Total Units Sold</t>
  </si>
  <si>
    <t>Carol</t>
  </si>
  <si>
    <t>East</t>
  </si>
  <si>
    <t>Tablet</t>
  </si>
  <si>
    <t>Average Sale Value</t>
  </si>
  <si>
    <t>Diana</t>
  </si>
  <si>
    <t>West</t>
  </si>
  <si>
    <t>Monitor</t>
  </si>
  <si>
    <t>Best Salesperson</t>
  </si>
  <si>
    <t>Accessories</t>
  </si>
  <si>
    <t>SALESPERSON LOOKUP</t>
  </si>
  <si>
    <t>Enter Name:</t>
  </si>
  <si>
    <t>Edward</t>
  </si>
  <si>
    <t>Total Sales:</t>
  </si>
  <si>
    <t>PRODUCT PRICE LOOKUP</t>
  </si>
  <si>
    <t>13/01/2024</t>
  </si>
  <si>
    <t>Product:</t>
  </si>
  <si>
    <t>phone</t>
  </si>
  <si>
    <t>14/01/2024</t>
  </si>
  <si>
    <t>Unit Price:</t>
  </si>
  <si>
    <t>15/01/2024</t>
  </si>
  <si>
    <t>16/01/2024</t>
  </si>
  <si>
    <t>17/01/2024</t>
  </si>
  <si>
    <t>18/01/2024</t>
  </si>
  <si>
    <t>19/01/2024</t>
  </si>
  <si>
    <t>20/01/2024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</si>
</sst>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Font="1"/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1" displayName="Table_1" name="Table_1" id="1">
  <tableColumns count="7">
    <tableColumn name="Date" id="1"/>
    <tableColumn name="Salesperson" id="2"/>
    <tableColumn name="Region" id="3"/>
    <tableColumn name="Product" id="4"/>
    <tableColumn name="Units Sold" id="5"/>
    <tableColumn name="Unit Price" id="6"/>
    <tableColumn name="Total Sal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3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45292.0</v>
      </c>
      <c r="B2" s="5" t="s">
        <v>9</v>
      </c>
      <c r="C2" s="5" t="s">
        <v>10</v>
      </c>
      <c r="D2" s="5" t="s">
        <v>11</v>
      </c>
      <c r="E2" s="5">
        <v>5.0</v>
      </c>
      <c r="F2" s="5">
        <v>799.0</v>
      </c>
      <c r="G2" s="5">
        <f t="shared" ref="G2:G21" si="1">E2*F2</f>
        <v>3995</v>
      </c>
      <c r="I2" s="6" t="s">
        <v>12</v>
      </c>
      <c r="J2" s="7">
        <f>SUM(G2:G21)</f>
        <v>61106</v>
      </c>
    </row>
    <row r="3">
      <c r="A3" s="4">
        <v>45323.0</v>
      </c>
      <c r="B3" s="5" t="s">
        <v>13</v>
      </c>
      <c r="C3" s="5" t="s">
        <v>14</v>
      </c>
      <c r="D3" s="5" t="s">
        <v>15</v>
      </c>
      <c r="E3" s="5">
        <v>8.0</v>
      </c>
      <c r="F3" s="5">
        <v>499.0</v>
      </c>
      <c r="G3" s="5">
        <f t="shared" si="1"/>
        <v>3992</v>
      </c>
      <c r="I3" s="6" t="s">
        <v>16</v>
      </c>
      <c r="J3" s="7">
        <f>SUM(E2:E21)</f>
        <v>144</v>
      </c>
    </row>
    <row r="4">
      <c r="A4" s="4">
        <v>45352.0</v>
      </c>
      <c r="B4" s="5" t="s">
        <v>17</v>
      </c>
      <c r="C4" s="5" t="s">
        <v>18</v>
      </c>
      <c r="D4" s="5" t="s">
        <v>19</v>
      </c>
      <c r="E4" s="5">
        <v>3.0</v>
      </c>
      <c r="F4" s="5">
        <v>599.0</v>
      </c>
      <c r="G4" s="5">
        <f t="shared" si="1"/>
        <v>1797</v>
      </c>
      <c r="I4" s="6" t="s">
        <v>20</v>
      </c>
      <c r="J4" s="7">
        <f>AVERAGE(G2:G21)</f>
        <v>3055.3</v>
      </c>
    </row>
    <row r="5">
      <c r="A5" s="4">
        <v>45383.0</v>
      </c>
      <c r="B5" s="5" t="s">
        <v>21</v>
      </c>
      <c r="C5" s="5" t="s">
        <v>22</v>
      </c>
      <c r="D5" s="5" t="s">
        <v>23</v>
      </c>
      <c r="E5" s="5">
        <v>7.0</v>
      </c>
      <c r="F5" s="5">
        <v>399.0</v>
      </c>
      <c r="G5" s="5">
        <f t="shared" si="1"/>
        <v>2793</v>
      </c>
      <c r="I5" s="6" t="s">
        <v>24</v>
      </c>
      <c r="J5" s="8" t="str">
        <f t="array" ref="J5">INDEX(B2:B21,MATCH(MAX(G2:G21),G2:G21,0))</f>
        <v>Alice</v>
      </c>
    </row>
    <row r="6">
      <c r="A6" s="4">
        <v>45413.0</v>
      </c>
      <c r="B6" s="5" t="s">
        <v>9</v>
      </c>
      <c r="C6" s="5" t="s">
        <v>10</v>
      </c>
      <c r="D6" s="5" t="s">
        <v>25</v>
      </c>
      <c r="E6" s="5">
        <v>12.0</v>
      </c>
      <c r="F6" s="5">
        <v>49.0</v>
      </c>
      <c r="G6" s="5">
        <f t="shared" si="1"/>
        <v>588</v>
      </c>
    </row>
    <row r="7">
      <c r="A7" s="4">
        <v>45444.0</v>
      </c>
      <c r="B7" s="5" t="s">
        <v>13</v>
      </c>
      <c r="C7" s="5" t="s">
        <v>22</v>
      </c>
      <c r="D7" s="5" t="s">
        <v>11</v>
      </c>
      <c r="E7" s="5">
        <v>4.0</v>
      </c>
      <c r="F7" s="5">
        <v>799.0</v>
      </c>
      <c r="G7" s="5">
        <f t="shared" si="1"/>
        <v>3196</v>
      </c>
    </row>
    <row r="8">
      <c r="A8" s="4">
        <v>45474.0</v>
      </c>
      <c r="B8" s="5" t="s">
        <v>17</v>
      </c>
      <c r="C8" s="5" t="s">
        <v>14</v>
      </c>
      <c r="D8" s="5" t="s">
        <v>15</v>
      </c>
      <c r="E8" s="5">
        <v>6.0</v>
      </c>
      <c r="F8" s="5">
        <v>499.0</v>
      </c>
      <c r="G8" s="5">
        <f t="shared" si="1"/>
        <v>2994</v>
      </c>
      <c r="I8" s="6" t="s">
        <v>26</v>
      </c>
    </row>
    <row r="9">
      <c r="A9" s="4">
        <v>45505.0</v>
      </c>
      <c r="B9" s="5" t="s">
        <v>21</v>
      </c>
      <c r="C9" s="5" t="s">
        <v>10</v>
      </c>
      <c r="D9" s="5" t="s">
        <v>19</v>
      </c>
      <c r="E9" s="5">
        <v>9.0</v>
      </c>
      <c r="F9" s="5">
        <v>599.0</v>
      </c>
      <c r="G9" s="5">
        <f t="shared" si="1"/>
        <v>5391</v>
      </c>
      <c r="I9" s="6" t="s">
        <v>27</v>
      </c>
      <c r="J9" s="9" t="s">
        <v>21</v>
      </c>
    </row>
    <row r="10">
      <c r="A10" s="4">
        <v>45536.0</v>
      </c>
      <c r="B10" s="5" t="s">
        <v>28</v>
      </c>
      <c r="C10" s="5" t="s">
        <v>18</v>
      </c>
      <c r="D10" s="5" t="s">
        <v>23</v>
      </c>
      <c r="E10" s="5">
        <v>5.0</v>
      </c>
      <c r="F10" s="5">
        <v>399.0</v>
      </c>
      <c r="G10" s="5">
        <f t="shared" si="1"/>
        <v>1995</v>
      </c>
      <c r="I10" s="6" t="s">
        <v>29</v>
      </c>
      <c r="J10" s="7">
        <f>SUMIF(B2:B21,J9,G2:G21)</f>
        <v>16471</v>
      </c>
    </row>
    <row r="11">
      <c r="A11" s="4">
        <v>45566.0</v>
      </c>
      <c r="B11" s="5" t="s">
        <v>9</v>
      </c>
      <c r="C11" s="5" t="s">
        <v>22</v>
      </c>
      <c r="D11" s="5" t="s">
        <v>11</v>
      </c>
      <c r="E11" s="5">
        <v>7.0</v>
      </c>
      <c r="F11" s="5">
        <v>799.0</v>
      </c>
      <c r="G11" s="5">
        <f t="shared" si="1"/>
        <v>5593</v>
      </c>
    </row>
    <row r="12">
      <c r="A12" s="4">
        <v>45597.0</v>
      </c>
      <c r="B12" s="5" t="s">
        <v>13</v>
      </c>
      <c r="C12" s="5" t="s">
        <v>10</v>
      </c>
      <c r="D12" s="5" t="s">
        <v>25</v>
      </c>
      <c r="E12" s="5">
        <v>15.0</v>
      </c>
      <c r="F12" s="5">
        <v>49.0</v>
      </c>
      <c r="G12" s="5">
        <f t="shared" si="1"/>
        <v>735</v>
      </c>
      <c r="I12" s="10"/>
    </row>
    <row r="13">
      <c r="A13" s="4">
        <v>45627.0</v>
      </c>
      <c r="B13" s="5" t="s">
        <v>17</v>
      </c>
      <c r="C13" s="5" t="s">
        <v>22</v>
      </c>
      <c r="D13" s="5" t="s">
        <v>15</v>
      </c>
      <c r="E13" s="5">
        <v>4.0</v>
      </c>
      <c r="F13" s="5">
        <v>499.0</v>
      </c>
      <c r="G13" s="5">
        <f t="shared" si="1"/>
        <v>1996</v>
      </c>
      <c r="I13" s="6" t="s">
        <v>30</v>
      </c>
    </row>
    <row r="14">
      <c r="A14" s="11" t="s">
        <v>31</v>
      </c>
      <c r="B14" s="5" t="s">
        <v>21</v>
      </c>
      <c r="C14" s="5" t="s">
        <v>14</v>
      </c>
      <c r="D14" s="5" t="s">
        <v>11</v>
      </c>
      <c r="E14" s="5">
        <v>6.0</v>
      </c>
      <c r="F14" s="5">
        <v>799.0</v>
      </c>
      <c r="G14" s="5">
        <f t="shared" si="1"/>
        <v>4794</v>
      </c>
      <c r="I14" s="6" t="s">
        <v>32</v>
      </c>
      <c r="J14" s="9" t="s">
        <v>33</v>
      </c>
    </row>
    <row r="15">
      <c r="A15" s="11" t="s">
        <v>34</v>
      </c>
      <c r="B15" s="5" t="s">
        <v>28</v>
      </c>
      <c r="C15" s="5" t="s">
        <v>18</v>
      </c>
      <c r="D15" s="5" t="s">
        <v>19</v>
      </c>
      <c r="E15" s="5">
        <v>8.0</v>
      </c>
      <c r="F15" s="5">
        <v>599.0</v>
      </c>
      <c r="G15" s="5">
        <f t="shared" si="1"/>
        <v>4792</v>
      </c>
      <c r="I15" s="6" t="s">
        <v>35</v>
      </c>
      <c r="J15" s="7">
        <f>VLOOKUP(J14,D2:F21,3,FALSE)</f>
        <v>499</v>
      </c>
    </row>
    <row r="16">
      <c r="A16" s="11" t="s">
        <v>36</v>
      </c>
      <c r="B16" s="5" t="s">
        <v>9</v>
      </c>
      <c r="C16" s="5" t="s">
        <v>10</v>
      </c>
      <c r="D16" s="5" t="s">
        <v>23</v>
      </c>
      <c r="E16" s="5">
        <v>3.0</v>
      </c>
      <c r="F16" s="5">
        <v>399.0</v>
      </c>
      <c r="G16" s="5">
        <f t="shared" si="1"/>
        <v>1197</v>
      </c>
    </row>
    <row r="17">
      <c r="A17" s="11" t="s">
        <v>37</v>
      </c>
      <c r="B17" s="5" t="s">
        <v>13</v>
      </c>
      <c r="C17" s="5" t="s">
        <v>14</v>
      </c>
      <c r="D17" s="5" t="s">
        <v>11</v>
      </c>
      <c r="E17" s="5">
        <v>5.0</v>
      </c>
      <c r="F17" s="5">
        <v>799.0</v>
      </c>
      <c r="G17" s="5">
        <f t="shared" si="1"/>
        <v>3995</v>
      </c>
    </row>
    <row r="18">
      <c r="A18" s="11" t="s">
        <v>38</v>
      </c>
      <c r="B18" s="5" t="s">
        <v>17</v>
      </c>
      <c r="C18" s="5" t="s">
        <v>18</v>
      </c>
      <c r="D18" s="5" t="s">
        <v>25</v>
      </c>
      <c r="E18" s="5">
        <v>20.0</v>
      </c>
      <c r="F18" s="5">
        <v>49.0</v>
      </c>
      <c r="G18" s="5">
        <f t="shared" si="1"/>
        <v>980</v>
      </c>
    </row>
    <row r="19">
      <c r="A19" s="11" t="s">
        <v>39</v>
      </c>
      <c r="B19" s="5" t="s">
        <v>21</v>
      </c>
      <c r="C19" s="5" t="s">
        <v>22</v>
      </c>
      <c r="D19" s="5" t="s">
        <v>15</v>
      </c>
      <c r="E19" s="5">
        <v>7.0</v>
      </c>
      <c r="F19" s="5">
        <v>499.0</v>
      </c>
      <c r="G19" s="5">
        <f t="shared" si="1"/>
        <v>3493</v>
      </c>
    </row>
    <row r="20">
      <c r="A20" s="11" t="s">
        <v>40</v>
      </c>
      <c r="B20" s="5" t="s">
        <v>28</v>
      </c>
      <c r="C20" s="5" t="s">
        <v>10</v>
      </c>
      <c r="D20" s="5" t="s">
        <v>11</v>
      </c>
      <c r="E20" s="5">
        <v>4.0</v>
      </c>
      <c r="F20" s="5">
        <v>799.0</v>
      </c>
      <c r="G20" s="5">
        <f t="shared" si="1"/>
        <v>3196</v>
      </c>
    </row>
    <row r="21">
      <c r="A21" s="11" t="s">
        <v>41</v>
      </c>
      <c r="B21" s="5" t="s">
        <v>9</v>
      </c>
      <c r="C21" s="5" t="s">
        <v>14</v>
      </c>
      <c r="D21" s="5" t="s">
        <v>19</v>
      </c>
      <c r="E21" s="5">
        <v>6.0</v>
      </c>
      <c r="F21" s="5">
        <v>599.0</v>
      </c>
      <c r="G21" s="5">
        <f t="shared" si="1"/>
        <v>3594</v>
      </c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ataValidations>
    <dataValidation type="list" allowBlank="1" showErrorMessage="1" sqref="C1:C1000">
      <formula1>"East,North,South,West,Region"</formula1>
    </dataValidation>
  </dataValidations>
  <drawing r:id="rId1"/>
  <tableParts count="1">
    <tablePart r:id="rId3"/>
  </tableParts>
</worksheet>
</file>